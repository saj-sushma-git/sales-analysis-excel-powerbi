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hidePivotFieldList="1" defaultThemeVersion="124226"/>
  <bookViews>
    <workbookView xWindow="240" yWindow="105" windowWidth="14805" windowHeight="8010" activeTab="1"/>
  </bookViews>
  <sheets>
    <sheet name="Pivot 1" sheetId="2" r:id="rId1"/>
    <sheet name="Pivot 3" sheetId="3" r:id="rId2"/>
    <sheet name="Pivot 2" sheetId="4" r:id="rId3"/>
    <sheet name="Data" sheetId="1" r:id="rId4"/>
  </sheets>
  <calcPr calcId="152511"/>
  <pivotCaches>
    <pivotCache cacheId="0" r:id="rId5"/>
  </pivotCaches>
</workbook>
</file>

<file path=xl/calcChain.xml><?xml version="1.0" encoding="utf-8"?>
<calcChain xmlns="http://schemas.openxmlformats.org/spreadsheetml/2006/main">
  <c r="I2" i="1" l="1"/>
  <c r="I16" i="1" l="1"/>
  <c r="I15" i="1"/>
  <c r="I14" i="1"/>
  <c r="I13" i="1"/>
  <c r="I12" i="1"/>
  <c r="I11" i="1"/>
  <c r="I10" i="1" l="1"/>
  <c r="I9" i="1"/>
  <c r="I8" i="1"/>
  <c r="I3" i="1"/>
  <c r="I4" i="1"/>
  <c r="I5" i="1"/>
  <c r="I6" i="1"/>
  <c r="I7" i="1"/>
</calcChain>
</file>

<file path=xl/sharedStrings.xml><?xml version="1.0" encoding="utf-8"?>
<sst xmlns="http://schemas.openxmlformats.org/spreadsheetml/2006/main" count="111" uniqueCount="50">
  <si>
    <t>Order_ID</t>
  </si>
  <si>
    <t>Order_Date</t>
  </si>
  <si>
    <t>Customer_Name</t>
  </si>
  <si>
    <t>City</t>
  </si>
  <si>
    <t>Product</t>
  </si>
  <si>
    <t>Category</t>
  </si>
  <si>
    <t>Quantity</t>
  </si>
  <si>
    <t>Price</t>
  </si>
  <si>
    <t>Total_Amount</t>
  </si>
  <si>
    <t>Ravi</t>
  </si>
  <si>
    <t>Vizag</t>
  </si>
  <si>
    <t>Laptop</t>
  </si>
  <si>
    <t>Electronics</t>
  </si>
  <si>
    <t>Sita</t>
  </si>
  <si>
    <t>Hyderabad</t>
  </si>
  <si>
    <t>Phone</t>
  </si>
  <si>
    <t>Ramesh</t>
  </si>
  <si>
    <t xml:space="preserve">Arun </t>
  </si>
  <si>
    <t>Chennai</t>
  </si>
  <si>
    <t>Tablet</t>
  </si>
  <si>
    <t>Kavya</t>
  </si>
  <si>
    <t>Headphones</t>
  </si>
  <si>
    <t>Accessories</t>
  </si>
  <si>
    <t>Bangalore</t>
  </si>
  <si>
    <t>Meena</t>
  </si>
  <si>
    <t>Sushma</t>
  </si>
  <si>
    <t>Unknown</t>
  </si>
  <si>
    <t>Not available</t>
  </si>
  <si>
    <t>Grand Total</t>
  </si>
  <si>
    <t>Pivot 1: Sales by City</t>
  </si>
  <si>
    <r>
      <rPr>
        <b/>
        <sz val="11"/>
        <color theme="1"/>
        <rFont val="Calibri"/>
        <family val="2"/>
        <scheme val="minor"/>
      </rPr>
      <t>Purpose:</t>
    </r>
    <r>
      <rPr>
        <sz val="11"/>
        <color theme="1"/>
        <rFont val="Calibri"/>
        <family val="2"/>
        <scheme val="minor"/>
      </rPr>
      <t xml:space="preserve">
To find total sales for each city</t>
    </r>
  </si>
  <si>
    <r>
      <rPr>
        <b/>
        <sz val="11"/>
        <color theme="1"/>
        <rFont val="Calibri"/>
        <family val="2"/>
        <scheme val="minor"/>
      </rPr>
      <t>How it is built:</t>
    </r>
    <r>
      <rPr>
        <sz val="11"/>
        <color theme="1"/>
        <rFont val="Calibri"/>
        <family val="2"/>
        <scheme val="minor"/>
      </rPr>
      <t xml:space="preserve">
Rows: City
Values: Sum of Total_Amount</t>
    </r>
  </si>
  <si>
    <r>
      <rPr>
        <b/>
        <sz val="11"/>
        <color theme="1"/>
        <rFont val="Calibri"/>
        <family val="2"/>
        <scheme val="minor"/>
      </rPr>
      <t>Insight:</t>
    </r>
    <r>
      <rPr>
        <sz val="11"/>
        <color theme="1"/>
        <rFont val="Calibri"/>
        <family val="2"/>
        <scheme val="minor"/>
      </rPr>
      <t xml:space="preserve">
Vizag has the highest sales compared to other cities</t>
    </r>
  </si>
  <si>
    <t>ANALYSIS</t>
  </si>
  <si>
    <t>Purpose:</t>
  </si>
  <si>
    <t>To find sales for each product</t>
  </si>
  <si>
    <t>How it is built:</t>
  </si>
  <si>
    <t>Rows: Product
Values: Sum of Total_Amount</t>
  </si>
  <si>
    <t>Insight:</t>
  </si>
  <si>
    <t>Laptop generates higher sales compared to other products.
Tablet and Phone generates almost equal sales.
Headphones generates comparitively very low sales.</t>
  </si>
  <si>
    <t>Analysis</t>
  </si>
  <si>
    <t>To find the number of orders for each category</t>
  </si>
  <si>
    <t>How is it built:</t>
  </si>
  <si>
    <t>Rows: Category
Values: Count of Order_ID</t>
  </si>
  <si>
    <t>Electronics category has more orders than accessories</t>
  </si>
  <si>
    <t>Total Sales</t>
  </si>
  <si>
    <t>SALES BY CITY:</t>
  </si>
  <si>
    <t>SALES BY PRODUCT</t>
  </si>
  <si>
    <t>Number of Orders</t>
  </si>
  <si>
    <t>ORDERS DISTRIBUTION BY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</si>
</sst>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14009]dd/mm/yyyy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wrapText="1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[Sales_Analysis_Project.xlsx]Pivot 1!PivotTable1</c:name>
    <c:fmtId val="1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1'!$B$3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1'!$A$4:$A$9</c:f>
              <c:strCache>
                <c:ptCount val="5"/>
                <c:pt idx="0">
                  <c:v>Bangalore</c:v>
                </c:pt>
                <c:pt idx="1">
                  <c:v>Chennai</c:v>
                </c:pt>
                <c:pt idx="2">
                  <c:v>Hyderabad</c:v>
                </c:pt>
                <c:pt idx="3">
                  <c:v>Not available</c:v>
                </c:pt>
                <c:pt idx="4">
                  <c:v>Vizag</c:v>
                </c:pt>
              </c:strCache>
            </c:strRef>
          </c:cat>
          <c:val>
            <c:numRef>
              <c:f>'Pivot 1'!$B$4:$B$9</c:f>
              <c:numCache>
                <c:formatCode>General</c:formatCode>
                <c:ptCount val="5"/>
                <c:pt idx="0">
                  <c:v>80000</c:v>
                </c:pt>
                <c:pt idx="1">
                  <c:v>33000</c:v>
                </c:pt>
                <c:pt idx="2">
                  <c:v>132000</c:v>
                </c:pt>
                <c:pt idx="3">
                  <c:v>50000</c:v>
                </c:pt>
                <c:pt idx="4">
                  <c:v>246000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62946536"/>
        <c:axId val="262946920"/>
      </c:barChart>
      <c:catAx>
        <c:axId val="262946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2946920"/>
        <c:crosses val="autoZero"/>
        <c:auto val="1"/>
        <c:lblAlgn val="ctr"/>
        <c:lblOffset val="100"/>
        <c:noMultiLvlLbl val="0"/>
      </c:catAx>
      <c:valAx>
        <c:axId val="262946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2946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[Sales_Analysis_Project.xlsx]Pivot 3!PivotTable2</c:name>
    <c:fmtId val="1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18225836445975929"/>
          <c:y val="0.19230529223732484"/>
          <c:w val="0.5484636316248015"/>
          <c:h val="0.75771702625486703"/>
        </c:manualLayout>
      </c:layout>
      <c:pieChart>
        <c:varyColors val="1"/>
        <c:ser>
          <c:idx val="0"/>
          <c:order val="0"/>
          <c:tx>
            <c:strRef>
              <c:f>'Pivot 3'!$B$3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'Pivot 3'!$A$4:$A$6</c:f>
              <c:strCache>
                <c:ptCount val="2"/>
                <c:pt idx="0">
                  <c:v>Accessories</c:v>
                </c:pt>
                <c:pt idx="1">
                  <c:v>Electronics</c:v>
                </c:pt>
              </c:strCache>
            </c:strRef>
          </c:cat>
          <c:val>
            <c:numRef>
              <c:f>'Pivot 3'!$B$4:$B$6</c:f>
              <c:numCache>
                <c:formatCode>General</c:formatCode>
                <c:ptCount val="2"/>
                <c:pt idx="0">
                  <c:v>2</c:v>
                </c:pt>
                <c:pt idx="1">
                  <c:v>13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[Sales_Analysis_Project.xlsx]Pivot 2!PivotTable3</c:name>
    <c:fmtId val="3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26389520519436438"/>
          <c:y val="0.16482631371350395"/>
          <c:w val="0.61031481518424435"/>
          <c:h val="0.7405661075361432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'Pivot 2'!$B$3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2'!$A$4:$A$8</c:f>
              <c:strCache>
                <c:ptCount val="4"/>
                <c:pt idx="0">
                  <c:v>Headphones</c:v>
                </c:pt>
                <c:pt idx="1">
                  <c:v>Laptop</c:v>
                </c:pt>
                <c:pt idx="2">
                  <c:v>Phone</c:v>
                </c:pt>
                <c:pt idx="3">
                  <c:v>Tablet</c:v>
                </c:pt>
              </c:strCache>
            </c:strRef>
          </c:cat>
          <c:val>
            <c:numRef>
              <c:f>'Pivot 2'!$B$4:$B$8</c:f>
              <c:numCache>
                <c:formatCode>General</c:formatCode>
                <c:ptCount val="4"/>
                <c:pt idx="0">
                  <c:v>9000</c:v>
                </c:pt>
                <c:pt idx="1">
                  <c:v>258000</c:v>
                </c:pt>
                <c:pt idx="2">
                  <c:v>138000</c:v>
                </c:pt>
                <c:pt idx="3">
                  <c:v>136000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64195376"/>
        <c:axId val="263783496"/>
      </c:barChart>
      <c:catAx>
        <c:axId val="2641953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3783496"/>
        <c:crosses val="autoZero"/>
        <c:auto val="1"/>
        <c:lblAlgn val="ctr"/>
        <c:lblOffset val="100"/>
        <c:noMultiLvlLbl val="0"/>
      </c:catAx>
      <c:valAx>
        <c:axId val="2637834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4195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3686174</xdr:colOff>
      <xdr:row>2</xdr:row>
      <xdr:rowOff>9526</xdr:rowOff>
    </xdr:from>
    <xdr:to>
      <xdr:col>11</xdr:col>
      <xdr:colOff>600075</xdr:colOff>
      <xdr:row>18</xdr:row>
      <xdr:rowOff>19050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19048</xdr:colOff>
      <xdr:row>1</xdr:row>
      <xdr:rowOff>185737</xdr:rowOff>
    </xdr:from>
    <xdr:to>
      <xdr:col>10</xdr:col>
      <xdr:colOff>542925</xdr:colOff>
      <xdr:row>19</xdr:row>
      <xdr:rowOff>123825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4133849</xdr:colOff>
      <xdr:row>1</xdr:row>
      <xdr:rowOff>14287</xdr:rowOff>
    </xdr:from>
    <xdr:to>
      <xdr:col>9</xdr:col>
      <xdr:colOff>390525</xdr:colOff>
      <xdr:row>18</xdr:row>
      <xdr:rowOff>123825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enovo\Desktop\Sushma\NOTES\PROJECT%203%20-%20Sales%20Data\sales_data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uthor" refreshedDate="46130.950948726851" createdVersion="5" refreshedVersion="5" minRefreshableVersion="3" recordCount="15">
  <cacheSource type="worksheet">
    <worksheetSource ref="A1:I16" sheet="Data" r:id="rId2"/>
  </cacheSource>
  <cacheFields count="9">
    <cacheField name="Order_ID" numFmtId="0">
      <sharedItems containsSemiMixedTypes="0" containsString="0" containsNumber="1" containsInteger="1" minValue="1" maxValue="15"/>
    </cacheField>
    <cacheField name="Order_Date" numFmtId="0">
      <sharedItems containsSemiMixedTypes="0" containsNonDate="0" containsDate="1" containsString="0" minDate="2026-04-01T00:00:00" maxDate="2026-04-14T00:00:00"/>
    </cacheField>
    <cacheField name="Customer_Name" numFmtId="0">
      <sharedItems/>
    </cacheField>
    <cacheField name="City" numFmtId="0">
      <sharedItems count="5">
        <s v="Vizag"/>
        <s v="Hyderabad"/>
        <s v="Chennai"/>
        <s v="Bangalore"/>
        <s v="Not available"/>
      </sharedItems>
    </cacheField>
    <cacheField name="Product" numFmtId="0">
      <sharedItems count="4">
        <s v="Laptop"/>
        <s v="Phone"/>
        <s v="Tablet"/>
        <s v="Headphones"/>
      </sharedItems>
    </cacheField>
    <cacheField name="Category" numFmtId="0">
      <sharedItems count="2">
        <s v="Electronics"/>
        <s v="Accessories"/>
      </sharedItems>
    </cacheField>
    <cacheField name="Quantity" numFmtId="0">
      <sharedItems containsSemiMixedTypes="0" containsString="0" containsNumber="1" containsInteger="1" minValue="1" maxValue="3"/>
    </cacheField>
    <cacheField name="Price" numFmtId="0">
      <sharedItems containsSemiMixedTypes="0" containsString="0" containsNumber="1" containsInteger="1" minValue="1500" maxValue="60000"/>
    </cacheField>
    <cacheField name="Total_Amount" numFmtId="0">
      <sharedItems containsSemiMixedTypes="0" containsString="0" containsNumber="1" containsInteger="1" minValue="3000" maxValue="6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5">
  <r>
    <n v="1"/>
    <d v="2026-04-01T00:00:00"/>
    <s v="Ravi"/>
    <x v="0"/>
    <x v="0"/>
    <x v="0"/>
    <n v="1"/>
    <n v="50000"/>
    <n v="50000"/>
  </r>
  <r>
    <n v="2"/>
    <d v="2026-04-02T00:00:00"/>
    <s v="Sita"/>
    <x v="1"/>
    <x v="1"/>
    <x v="0"/>
    <n v="2"/>
    <n v="20000"/>
    <n v="40000"/>
  </r>
  <r>
    <n v="3"/>
    <d v="2026-04-03T00:00:00"/>
    <s v="Ramesh"/>
    <x v="0"/>
    <x v="0"/>
    <x v="0"/>
    <n v="1"/>
    <n v="55000"/>
    <n v="55000"/>
  </r>
  <r>
    <n v="4"/>
    <d v="2026-04-04T00:00:00"/>
    <s v="Sita"/>
    <x v="1"/>
    <x v="1"/>
    <x v="0"/>
    <n v="2"/>
    <n v="18000"/>
    <n v="36000"/>
  </r>
  <r>
    <n v="5"/>
    <d v="2026-04-05T00:00:00"/>
    <s v="Arun "/>
    <x v="2"/>
    <x v="2"/>
    <x v="0"/>
    <n v="1"/>
    <n v="30000"/>
    <n v="30000"/>
  </r>
  <r>
    <n v="6"/>
    <d v="2026-04-06T00:00:00"/>
    <s v="Kavya"/>
    <x v="0"/>
    <x v="3"/>
    <x v="1"/>
    <n v="3"/>
    <n v="2000"/>
    <n v="6000"/>
  </r>
  <r>
    <n v="7"/>
    <d v="2026-04-07T00:00:00"/>
    <s v="Ramesh"/>
    <x v="0"/>
    <x v="1"/>
    <x v="0"/>
    <n v="1"/>
    <n v="20000"/>
    <n v="20000"/>
  </r>
  <r>
    <n v="8"/>
    <d v="2026-04-08T00:00:00"/>
    <s v="Unknown"/>
    <x v="3"/>
    <x v="0"/>
    <x v="0"/>
    <n v="1"/>
    <n v="60000"/>
    <n v="60000"/>
  </r>
  <r>
    <n v="9"/>
    <d v="2026-04-09T00:00:00"/>
    <s v="Meena"/>
    <x v="4"/>
    <x v="2"/>
    <x v="0"/>
    <n v="2"/>
    <n v="25000"/>
    <n v="50000"/>
  </r>
  <r>
    <n v="10"/>
    <d v="2026-04-10T00:00:00"/>
    <s v="Sushma"/>
    <x v="0"/>
    <x v="0"/>
    <x v="0"/>
    <n v="1"/>
    <n v="35000"/>
    <n v="35000"/>
  </r>
  <r>
    <n v="11"/>
    <d v="2026-04-11T00:00:00"/>
    <s v="Ravi"/>
    <x v="0"/>
    <x v="1"/>
    <x v="0"/>
    <n v="1"/>
    <n v="22000"/>
    <n v="22000"/>
  </r>
  <r>
    <n v="12"/>
    <d v="2026-04-12T00:00:00"/>
    <s v="Meena"/>
    <x v="1"/>
    <x v="2"/>
    <x v="0"/>
    <n v="2"/>
    <n v="28000"/>
    <n v="56000"/>
  </r>
  <r>
    <n v="13"/>
    <d v="2026-04-13T00:00:00"/>
    <s v="Arun "/>
    <x v="2"/>
    <x v="3"/>
    <x v="1"/>
    <n v="2"/>
    <n v="1500"/>
    <n v="3000"/>
  </r>
  <r>
    <n v="14"/>
    <d v="2026-04-13T00:00:00"/>
    <s v="Kavya"/>
    <x v="0"/>
    <x v="0"/>
    <x v="0"/>
    <n v="1"/>
    <n v="58000"/>
    <n v="58000"/>
  </r>
  <r>
    <n v="15"/>
    <d v="2026-04-13T00:00:00"/>
    <s v="Unknown"/>
    <x v="3"/>
    <x v="1"/>
    <x v="0"/>
    <n v="1"/>
    <n v="20000"/>
    <n v="20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5" rowHeaderCaption="City">
  <location ref="A3:B9" firstHeaderRow="1" firstDataRow="1" firstDataCol="1"/>
  <pivotFields count="9">
    <pivotField showAll="0"/>
    <pivotField showAll="0"/>
    <pivotField showAll="0"/>
    <pivotField axis="axisRow" showAll="0">
      <items count="6">
        <item x="3"/>
        <item x="2"/>
        <item x="1"/>
        <item x="4"/>
        <item x="0"/>
        <item t="default"/>
      </items>
    </pivotField>
    <pivotField showAll="0">
      <items count="5">
        <item x="3"/>
        <item x="0"/>
        <item x="1"/>
        <item x="2"/>
        <item t="default"/>
      </items>
    </pivotField>
    <pivotField showAll="0"/>
    <pivotField showAll="0"/>
    <pivotField showAll="0"/>
    <pivotField dataField="1"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Total Sales" fld="8" baseField="3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2" rowHeaderCaption="Category">
  <location ref="A3:B6" firstHeaderRow="1" firstDataRow="1" firstDataCol="1"/>
  <pivotFields count="9">
    <pivotField dataField="1"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</pivotFields>
  <rowFields count="1">
    <field x="5"/>
  </rowFields>
  <rowItems count="3">
    <i>
      <x/>
    </i>
    <i>
      <x v="1"/>
    </i>
    <i t="grand">
      <x/>
    </i>
  </rowItems>
  <colItems count="1">
    <i/>
  </colItems>
  <dataFields count="1">
    <dataField name="Number of Orders" fld="0" subtotal="count" baseField="5" baseItem="0"/>
  </dataFields>
  <chartFormats count="3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4" rowHeaderCaption="Product">
  <location ref="A3:B8" firstHeaderRow="1" firstDataRow="1" firstDataCol="1"/>
  <pivotFields count="9">
    <pivotField showAll="0"/>
    <pivotField showAll="0"/>
    <pivotField showAll="0"/>
    <pivotField showAll="0"/>
    <pivotField axis="axisRow" showAll="0">
      <items count="5">
        <item x="3"/>
        <item x="0"/>
        <item x="1"/>
        <item x="2"/>
        <item t="default"/>
      </items>
    </pivotField>
    <pivotField showAll="0"/>
    <pivotField showAll="0"/>
    <pivotField showAll="0"/>
    <pivotField dataField="1"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Total Sales" fld="8" baseField="4" baseItem="0"/>
  </dataField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>
      <selection activeCell="F1" sqref="F1"/>
    </sheetView>
  </sheetViews>
  <sheetFormatPr defaultRowHeight="15" x14ac:dyDescent="0.25"/>
  <cols>
    <col min="1" max="1" width="16.140625" customWidth="1"/>
    <col min="2" max="2" width="11.28515625" customWidth="1"/>
    <col min="3" max="3" width="4.7109375" customWidth="1"/>
    <col min="4" max="4" width="3.7109375" customWidth="1"/>
    <col min="5" max="5" width="68.5703125" customWidth="1"/>
    <col min="6" max="6" width="23.5703125" customWidth="1"/>
  </cols>
  <sheetData>
    <row r="1" spans="1:6" x14ac:dyDescent="0.25">
      <c r="E1" s="7" t="s">
        <v>33</v>
      </c>
      <c r="F1" s="7" t="s">
        <v>46</v>
      </c>
    </row>
    <row r="3" spans="1:6" x14ac:dyDescent="0.25">
      <c r="A3" s="3" t="s">
        <v>3</v>
      </c>
      <c r="B3" t="s">
        <v>45</v>
      </c>
      <c r="E3" s="7" t="s">
        <v>29</v>
      </c>
    </row>
    <row r="4" spans="1:6" x14ac:dyDescent="0.25">
      <c r="A4" s="4" t="s">
        <v>23</v>
      </c>
      <c r="B4" s="5">
        <v>80000</v>
      </c>
    </row>
    <row r="5" spans="1:6" ht="30" x14ac:dyDescent="0.25">
      <c r="A5" s="4" t="s">
        <v>18</v>
      </c>
      <c r="B5" s="5">
        <v>33000</v>
      </c>
      <c r="E5" s="6" t="s">
        <v>30</v>
      </c>
    </row>
    <row r="6" spans="1:6" x14ac:dyDescent="0.25">
      <c r="A6" s="4" t="s">
        <v>14</v>
      </c>
      <c r="B6" s="5">
        <v>132000</v>
      </c>
    </row>
    <row r="7" spans="1:6" ht="45" x14ac:dyDescent="0.25">
      <c r="A7" s="4" t="s">
        <v>27</v>
      </c>
      <c r="B7" s="5">
        <v>50000</v>
      </c>
      <c r="E7" s="6" t="s">
        <v>31</v>
      </c>
    </row>
    <row r="8" spans="1:6" x14ac:dyDescent="0.25">
      <c r="A8" s="4" t="s">
        <v>10</v>
      </c>
      <c r="B8" s="5">
        <v>246000</v>
      </c>
    </row>
    <row r="9" spans="1:6" ht="30" x14ac:dyDescent="0.25">
      <c r="A9" s="4" t="s">
        <v>28</v>
      </c>
      <c r="B9" s="5">
        <v>541000</v>
      </c>
      <c r="E9" s="6" t="s">
        <v>32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Views>
    <sheetView tabSelected="1" workbookViewId="0">
      <selection activeCell="I1" sqref="I1"/>
    </sheetView>
  </sheetViews>
  <sheetFormatPr defaultRowHeight="15" x14ac:dyDescent="0.25"/>
  <cols>
    <col min="1" max="1" width="11.28515625" customWidth="1"/>
    <col min="2" max="2" width="17.28515625" bestFit="1" customWidth="1"/>
    <col min="3" max="4" width="3" customWidth="1"/>
    <col min="5" max="5" width="61.85546875" customWidth="1"/>
    <col min="7" max="7" width="10.5703125" customWidth="1"/>
    <col min="8" max="8" width="9.140625" hidden="1" customWidth="1"/>
    <col min="9" max="9" width="48.85546875" customWidth="1"/>
  </cols>
  <sheetData>
    <row r="1" spans="1:9" x14ac:dyDescent="0.25">
      <c r="E1" s="8" t="s">
        <v>40</v>
      </c>
      <c r="I1" s="7" t="s">
        <v>49</v>
      </c>
    </row>
    <row r="3" spans="1:9" x14ac:dyDescent="0.25">
      <c r="A3" s="3" t="s">
        <v>5</v>
      </c>
      <c r="B3" t="s">
        <v>48</v>
      </c>
      <c r="E3" s="9" t="s">
        <v>34</v>
      </c>
    </row>
    <row r="4" spans="1:9" x14ac:dyDescent="0.25">
      <c r="A4" s="4" t="s">
        <v>22</v>
      </c>
      <c r="B4" s="5">
        <v>2</v>
      </c>
      <c r="E4" t="s">
        <v>41</v>
      </c>
    </row>
    <row r="5" spans="1:9" x14ac:dyDescent="0.25">
      <c r="A5" s="4" t="s">
        <v>12</v>
      </c>
      <c r="B5" s="5">
        <v>13</v>
      </c>
    </row>
    <row r="6" spans="1:9" x14ac:dyDescent="0.25">
      <c r="A6" s="4" t="s">
        <v>28</v>
      </c>
      <c r="B6" s="5">
        <v>15</v>
      </c>
      <c r="E6" s="7" t="s">
        <v>42</v>
      </c>
    </row>
    <row r="7" spans="1:9" ht="30" x14ac:dyDescent="0.25">
      <c r="E7" s="6" t="s">
        <v>43</v>
      </c>
    </row>
    <row r="9" spans="1:9" x14ac:dyDescent="0.25">
      <c r="E9" s="7" t="s">
        <v>38</v>
      </c>
    </row>
    <row r="10" spans="1:9" x14ac:dyDescent="0.25">
      <c r="E10" t="s">
        <v>44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Views>
    <sheetView workbookViewId="0">
      <selection activeCell="K10" sqref="K10"/>
    </sheetView>
  </sheetViews>
  <sheetFormatPr defaultRowHeight="15" x14ac:dyDescent="0.25"/>
  <cols>
    <col min="1" max="1" width="12.140625" customWidth="1"/>
    <col min="2" max="2" width="10.42578125" customWidth="1"/>
    <col min="3" max="3" width="1.42578125" customWidth="1"/>
    <col min="4" max="4" width="2" customWidth="1"/>
    <col min="5" max="5" width="57.5703125" customWidth="1"/>
    <col min="6" max="6" width="27.7109375" customWidth="1"/>
    <col min="7" max="7" width="36.85546875" customWidth="1"/>
  </cols>
  <sheetData>
    <row r="1" spans="1:7" x14ac:dyDescent="0.25">
      <c r="E1" s="7" t="s">
        <v>33</v>
      </c>
      <c r="G1" s="7" t="s">
        <v>47</v>
      </c>
    </row>
    <row r="3" spans="1:7" x14ac:dyDescent="0.25">
      <c r="A3" s="3" t="s">
        <v>4</v>
      </c>
      <c r="B3" t="s">
        <v>45</v>
      </c>
      <c r="E3" s="7" t="s">
        <v>34</v>
      </c>
    </row>
    <row r="4" spans="1:7" x14ac:dyDescent="0.25">
      <c r="A4" s="4" t="s">
        <v>21</v>
      </c>
      <c r="B4" s="5">
        <v>9000</v>
      </c>
      <c r="E4" t="s">
        <v>35</v>
      </c>
    </row>
    <row r="5" spans="1:7" x14ac:dyDescent="0.25">
      <c r="A5" s="4" t="s">
        <v>11</v>
      </c>
      <c r="B5" s="5">
        <v>258000</v>
      </c>
    </row>
    <row r="6" spans="1:7" x14ac:dyDescent="0.25">
      <c r="A6" s="4" t="s">
        <v>15</v>
      </c>
      <c r="B6" s="5">
        <v>138000</v>
      </c>
      <c r="E6" s="7" t="s">
        <v>36</v>
      </c>
    </row>
    <row r="7" spans="1:7" ht="30" x14ac:dyDescent="0.25">
      <c r="A7" s="4" t="s">
        <v>19</v>
      </c>
      <c r="B7" s="5">
        <v>136000</v>
      </c>
      <c r="E7" s="6" t="s">
        <v>37</v>
      </c>
    </row>
    <row r="8" spans="1:7" x14ac:dyDescent="0.25">
      <c r="A8" s="4" t="s">
        <v>28</v>
      </c>
      <c r="B8" s="5">
        <v>541000</v>
      </c>
    </row>
    <row r="9" spans="1:7" x14ac:dyDescent="0.25">
      <c r="E9" s="7" t="s">
        <v>38</v>
      </c>
    </row>
    <row r="10" spans="1:7" ht="45" x14ac:dyDescent="0.25">
      <c r="E10" s="6" t="s">
        <v>39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"/>
  <sheetViews>
    <sheetView workbookViewId="0">
      <selection activeCell="A18" sqref="A18"/>
    </sheetView>
  </sheetViews>
  <sheetFormatPr defaultRowHeight="15" x14ac:dyDescent="0.25"/>
  <cols>
    <col min="1" max="1" width="13.5703125" customWidth="1"/>
    <col min="2" max="2" width="15.42578125" customWidth="1"/>
    <col min="3" max="3" width="22.42578125" customWidth="1"/>
    <col min="4" max="4" width="23.140625" customWidth="1"/>
    <col min="5" max="5" width="22.28515625" customWidth="1"/>
    <col min="6" max="6" width="20.42578125" customWidth="1"/>
    <col min="7" max="7" width="13.140625" customWidth="1"/>
    <col min="8" max="8" width="13" customWidth="1"/>
    <col min="9" max="9" width="21.28515625" customWidth="1"/>
    <col min="10" max="10" width="26.710937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s="1">
        <v>46113</v>
      </c>
      <c r="C2" t="s">
        <v>9</v>
      </c>
      <c r="D2" t="s">
        <v>10</v>
      </c>
      <c r="E2" t="s">
        <v>11</v>
      </c>
      <c r="F2" t="s">
        <v>12</v>
      </c>
      <c r="G2">
        <v>1</v>
      </c>
      <c r="H2">
        <v>50000</v>
      </c>
      <c r="I2">
        <f xml:space="preserve"> G2 * H2</f>
        <v>50000</v>
      </c>
    </row>
    <row r="3" spans="1:9" x14ac:dyDescent="0.25">
      <c r="A3">
        <v>2</v>
      </c>
      <c r="B3" s="1">
        <v>46114</v>
      </c>
      <c r="C3" t="s">
        <v>13</v>
      </c>
      <c r="D3" t="s">
        <v>14</v>
      </c>
      <c r="E3" t="s">
        <v>15</v>
      </c>
      <c r="F3" t="s">
        <v>12</v>
      </c>
      <c r="G3">
        <v>2</v>
      </c>
      <c r="H3">
        <v>20000</v>
      </c>
      <c r="I3">
        <f t="shared" ref="I3:I16" si="0" xml:space="preserve"> G3 * H3</f>
        <v>40000</v>
      </c>
    </row>
    <row r="4" spans="1:9" x14ac:dyDescent="0.25">
      <c r="A4">
        <v>3</v>
      </c>
      <c r="B4" s="1">
        <v>46115</v>
      </c>
      <c r="C4" t="s">
        <v>16</v>
      </c>
      <c r="D4" t="s">
        <v>10</v>
      </c>
      <c r="E4" t="s">
        <v>11</v>
      </c>
      <c r="F4" t="s">
        <v>12</v>
      </c>
      <c r="G4">
        <v>1</v>
      </c>
      <c r="H4">
        <v>55000</v>
      </c>
      <c r="I4">
        <f t="shared" si="0"/>
        <v>55000</v>
      </c>
    </row>
    <row r="5" spans="1:9" x14ac:dyDescent="0.25">
      <c r="A5">
        <v>4</v>
      </c>
      <c r="B5" s="1">
        <v>46116</v>
      </c>
      <c r="C5" t="s">
        <v>13</v>
      </c>
      <c r="D5" t="s">
        <v>14</v>
      </c>
      <c r="E5" t="s">
        <v>15</v>
      </c>
      <c r="F5" t="s">
        <v>12</v>
      </c>
      <c r="G5">
        <v>2</v>
      </c>
      <c r="H5">
        <v>18000</v>
      </c>
      <c r="I5">
        <f t="shared" si="0"/>
        <v>36000</v>
      </c>
    </row>
    <row r="6" spans="1:9" x14ac:dyDescent="0.25">
      <c r="A6">
        <v>5</v>
      </c>
      <c r="B6" s="1">
        <v>46117</v>
      </c>
      <c r="C6" t="s">
        <v>17</v>
      </c>
      <c r="D6" t="s">
        <v>18</v>
      </c>
      <c r="E6" t="s">
        <v>19</v>
      </c>
      <c r="F6" t="s">
        <v>12</v>
      </c>
      <c r="G6">
        <v>1</v>
      </c>
      <c r="H6">
        <v>30000</v>
      </c>
      <c r="I6">
        <f t="shared" si="0"/>
        <v>30000</v>
      </c>
    </row>
    <row r="7" spans="1:9" x14ac:dyDescent="0.25">
      <c r="A7">
        <v>6</v>
      </c>
      <c r="B7" s="1">
        <v>46118</v>
      </c>
      <c r="C7" t="s">
        <v>20</v>
      </c>
      <c r="D7" t="s">
        <v>10</v>
      </c>
      <c r="E7" t="s">
        <v>21</v>
      </c>
      <c r="F7" t="s">
        <v>22</v>
      </c>
      <c r="G7">
        <v>3</v>
      </c>
      <c r="H7">
        <v>2000</v>
      </c>
      <c r="I7">
        <f t="shared" si="0"/>
        <v>6000</v>
      </c>
    </row>
    <row r="8" spans="1:9" x14ac:dyDescent="0.25">
      <c r="A8">
        <v>7</v>
      </c>
      <c r="B8" s="1">
        <v>46119</v>
      </c>
      <c r="C8" t="s">
        <v>16</v>
      </c>
      <c r="D8" t="s">
        <v>10</v>
      </c>
      <c r="E8" t="s">
        <v>15</v>
      </c>
      <c r="F8" t="s">
        <v>12</v>
      </c>
      <c r="G8">
        <v>1</v>
      </c>
      <c r="H8">
        <v>20000</v>
      </c>
      <c r="I8">
        <f t="shared" si="0"/>
        <v>20000</v>
      </c>
    </row>
    <row r="9" spans="1:9" x14ac:dyDescent="0.25">
      <c r="A9">
        <v>8</v>
      </c>
      <c r="B9" s="1">
        <v>46120</v>
      </c>
      <c r="C9" t="s">
        <v>26</v>
      </c>
      <c r="D9" t="s">
        <v>23</v>
      </c>
      <c r="E9" t="s">
        <v>11</v>
      </c>
      <c r="F9" t="s">
        <v>12</v>
      </c>
      <c r="G9">
        <v>1</v>
      </c>
      <c r="H9">
        <v>60000</v>
      </c>
      <c r="I9">
        <f t="shared" si="0"/>
        <v>60000</v>
      </c>
    </row>
    <row r="10" spans="1:9" x14ac:dyDescent="0.25">
      <c r="A10">
        <v>9</v>
      </c>
      <c r="B10" s="1">
        <v>46121</v>
      </c>
      <c r="C10" t="s">
        <v>24</v>
      </c>
      <c r="D10" t="s">
        <v>27</v>
      </c>
      <c r="E10" t="s">
        <v>19</v>
      </c>
      <c r="F10" t="s">
        <v>12</v>
      </c>
      <c r="G10">
        <v>2</v>
      </c>
      <c r="H10">
        <v>25000</v>
      </c>
      <c r="I10">
        <f t="shared" si="0"/>
        <v>50000</v>
      </c>
    </row>
    <row r="11" spans="1:9" x14ac:dyDescent="0.25">
      <c r="A11">
        <v>10</v>
      </c>
      <c r="B11" s="1">
        <v>46122</v>
      </c>
      <c r="C11" t="s">
        <v>25</v>
      </c>
      <c r="D11" t="s">
        <v>10</v>
      </c>
      <c r="E11" t="s">
        <v>11</v>
      </c>
      <c r="F11" t="s">
        <v>12</v>
      </c>
      <c r="G11">
        <v>1</v>
      </c>
      <c r="H11">
        <v>35000</v>
      </c>
      <c r="I11">
        <f t="shared" si="0"/>
        <v>35000</v>
      </c>
    </row>
    <row r="12" spans="1:9" x14ac:dyDescent="0.25">
      <c r="A12">
        <v>11</v>
      </c>
      <c r="B12" s="1">
        <v>46123</v>
      </c>
      <c r="C12" t="s">
        <v>9</v>
      </c>
      <c r="D12" t="s">
        <v>10</v>
      </c>
      <c r="E12" t="s">
        <v>15</v>
      </c>
      <c r="F12" t="s">
        <v>12</v>
      </c>
      <c r="G12">
        <v>1</v>
      </c>
      <c r="H12">
        <v>22000</v>
      </c>
      <c r="I12">
        <f t="shared" si="0"/>
        <v>22000</v>
      </c>
    </row>
    <row r="13" spans="1:9" x14ac:dyDescent="0.25">
      <c r="A13">
        <v>12</v>
      </c>
      <c r="B13" s="1">
        <v>46124</v>
      </c>
      <c r="C13" t="s">
        <v>24</v>
      </c>
      <c r="D13" t="s">
        <v>14</v>
      </c>
      <c r="E13" t="s">
        <v>19</v>
      </c>
      <c r="F13" t="s">
        <v>12</v>
      </c>
      <c r="G13">
        <v>2</v>
      </c>
      <c r="H13">
        <v>28000</v>
      </c>
      <c r="I13">
        <f t="shared" si="0"/>
        <v>56000</v>
      </c>
    </row>
    <row r="14" spans="1:9" x14ac:dyDescent="0.25">
      <c r="A14">
        <v>13</v>
      </c>
      <c r="B14" s="1">
        <v>46125</v>
      </c>
      <c r="C14" t="s">
        <v>17</v>
      </c>
      <c r="D14" t="s">
        <v>18</v>
      </c>
      <c r="E14" t="s">
        <v>21</v>
      </c>
      <c r="F14" t="s">
        <v>22</v>
      </c>
      <c r="G14">
        <v>2</v>
      </c>
      <c r="H14">
        <v>1500</v>
      </c>
      <c r="I14">
        <f t="shared" si="0"/>
        <v>3000</v>
      </c>
    </row>
    <row r="15" spans="1:9" x14ac:dyDescent="0.25">
      <c r="A15">
        <v>14</v>
      </c>
      <c r="B15" s="2">
        <v>46125</v>
      </c>
      <c r="C15" t="s">
        <v>20</v>
      </c>
      <c r="D15" t="s">
        <v>10</v>
      </c>
      <c r="E15" t="s">
        <v>11</v>
      </c>
      <c r="F15" t="s">
        <v>12</v>
      </c>
      <c r="G15">
        <v>1</v>
      </c>
      <c r="H15">
        <v>58000</v>
      </c>
      <c r="I15">
        <f t="shared" si="0"/>
        <v>58000</v>
      </c>
    </row>
    <row r="16" spans="1:9" x14ac:dyDescent="0.25">
      <c r="A16">
        <v>15</v>
      </c>
      <c r="B16" s="1">
        <v>46125</v>
      </c>
      <c r="C16" t="s">
        <v>26</v>
      </c>
      <c r="D16" t="s">
        <v>23</v>
      </c>
      <c r="E16" t="s">
        <v>15</v>
      </c>
      <c r="F16" t="s">
        <v>12</v>
      </c>
      <c r="G16">
        <v>1</v>
      </c>
      <c r="H16">
        <v>20000</v>
      </c>
      <c r="I16">
        <f t="shared" si="0"/>
        <v>20000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Pivot 1</vt:lpstr>
      <vt:lpstr>Pivot 3</vt:lpstr>
      <vt:lpstr>Pivot 2</vt:lpstr>
      <vt:lpstr>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2026-04-20T13:52:38Z</dcterms:modified>
</cp:coreProperties>
</file>